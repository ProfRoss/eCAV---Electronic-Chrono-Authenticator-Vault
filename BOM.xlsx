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BADED9-F651-4250-A6D5-DF4A5F6305FB}" xr6:coauthVersionLast="47" xr6:coauthVersionMax="47" xr10:uidLastSave="{00000000-0000-0000-0000-000000000000}"/>
  <bookViews>
    <workbookView xWindow="-120" yWindow="-120" windowWidth="29040" windowHeight="15720" xr2:uid="{9E050762-3C5B-48A6-BAD1-1188FA6AF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  <c r="E24" i="1"/>
  <c r="E28" i="1"/>
  <c r="E29" i="1"/>
  <c r="E30" i="1"/>
  <c r="E31" i="1"/>
  <c r="E32" i="1"/>
  <c r="E33" i="1"/>
  <c r="E27" i="1"/>
</calcChain>
</file>

<file path=xl/sharedStrings.xml><?xml version="1.0" encoding="utf-8"?>
<sst xmlns="http://schemas.openxmlformats.org/spreadsheetml/2006/main" count="136" uniqueCount="94">
  <si>
    <t>CHY-9194</t>
  </si>
  <si>
    <t>Polymer</t>
  </si>
  <si>
    <t>Composite</t>
  </si>
  <si>
    <t>Designator</t>
  </si>
  <si>
    <t>Component</t>
  </si>
  <si>
    <t>Number</t>
  </si>
  <si>
    <t>Cost per unit (AUD)</t>
  </si>
  <si>
    <t>Total cost (AUD)</t>
  </si>
  <si>
    <t>Source of Materials</t>
  </si>
  <si>
    <t>Material Type</t>
  </si>
  <si>
    <t>Enclosure (216x165x95)</t>
  </si>
  <si>
    <t>2.42” SSD1309 I2C</t>
  </si>
  <si>
    <t>OLED Screen</t>
  </si>
  <si>
    <t>Keypad</t>
  </si>
  <si>
    <t>Semiconductor</t>
  </si>
  <si>
    <t>3x4 Key Matrix</t>
  </si>
  <si>
    <t xml:space="preserve">S1203 </t>
  </si>
  <si>
    <t>Key Switch</t>
  </si>
  <si>
    <t>Metal</t>
  </si>
  <si>
    <t>USB Cable</t>
  </si>
  <si>
    <t>3D_1</t>
  </si>
  <si>
    <t>3D_2</t>
  </si>
  <si>
    <t>3D_3</t>
  </si>
  <si>
    <t>3D_4</t>
  </si>
  <si>
    <t>3D Printed Frame</t>
  </si>
  <si>
    <t>3D Printed Screen Holder</t>
  </si>
  <si>
    <t>3D Printed Prize Flap</t>
  </si>
  <si>
    <t>3D Printed Keypad Holder</t>
  </si>
  <si>
    <t>Custom 3D Printed</t>
  </si>
  <si>
    <t>Custom Laser Cut</t>
  </si>
  <si>
    <t>Laser_1</t>
  </si>
  <si>
    <t>Screen Protector</t>
  </si>
  <si>
    <t>Other</t>
  </si>
  <si>
    <t>Bolt</t>
  </si>
  <si>
    <t>Nut</t>
  </si>
  <si>
    <t xml:space="preserve">M4 Lock Nut </t>
  </si>
  <si>
    <t>Fabricated PCB</t>
  </si>
  <si>
    <t>PCB</t>
  </si>
  <si>
    <t>PCB1</t>
  </si>
  <si>
    <t>M3 90mm</t>
  </si>
  <si>
    <t>M3 8mm</t>
  </si>
  <si>
    <t>M3 20mm</t>
  </si>
  <si>
    <t>M3 14mm</t>
  </si>
  <si>
    <t>M4 12mm</t>
  </si>
  <si>
    <t>M3 Lock Nut</t>
  </si>
  <si>
    <t>Battery</t>
  </si>
  <si>
    <t>18650 Battery</t>
  </si>
  <si>
    <t>3V Latch</t>
  </si>
  <si>
    <t>R2 1K 0805</t>
  </si>
  <si>
    <t>Resistor</t>
  </si>
  <si>
    <t>R1 100K 0805</t>
  </si>
  <si>
    <t>www.lcsc.com/product-detail/C840839.html</t>
  </si>
  <si>
    <t>www.lcsc.com/product-detail/C42441529.html</t>
  </si>
  <si>
    <t xml:space="preserve">P4 JST-2 </t>
  </si>
  <si>
    <t>Socket</t>
  </si>
  <si>
    <t>www.lcsc.com/product-detail/C96346.html</t>
  </si>
  <si>
    <t>www.lcsc.com/product-detail/C95781.html</t>
  </si>
  <si>
    <t>www.lcsc.com/product-detail/C55205335.html</t>
  </si>
  <si>
    <t>5K 0805</t>
  </si>
  <si>
    <t>??</t>
  </si>
  <si>
    <t>www.lcsc.com/product-detail/C8678.html</t>
  </si>
  <si>
    <t>USB-C R/A</t>
  </si>
  <si>
    <t>www.aliexpress.aliexpress.com/item/1005007045033967.html</t>
  </si>
  <si>
    <t>www.aliexpress.com/item/1005012665192802.html</t>
  </si>
  <si>
    <t>www.aliexpress.com/item/32830655348.html</t>
  </si>
  <si>
    <t>www.aliexpress.com/item/1005012174216785.html</t>
  </si>
  <si>
    <t>www.aliexpress.com/item/1005006431200436.html</t>
  </si>
  <si>
    <t>www.aliexpress.com/item/1005010073470627.html</t>
  </si>
  <si>
    <t>www.aliexpress.com/item/33031081402.html</t>
  </si>
  <si>
    <t>www.batteryworld.com.au/XTAR-3.6V-18650-size-2600mAh-LiIon-CellPCM-Protect</t>
  </si>
  <si>
    <t>www.lcsc.com/product-detail/C49678.html</t>
  </si>
  <si>
    <t>www.lcsc.com/product-detail/C192106.html</t>
  </si>
  <si>
    <t>C1 100uF</t>
  </si>
  <si>
    <t>U1 Arduino Nano USB-C</t>
  </si>
  <si>
    <t>Microcontroller</t>
  </si>
  <si>
    <t>www.aliexpress.com/item/1005009503752666.html</t>
  </si>
  <si>
    <t>TP-4056</t>
  </si>
  <si>
    <t>Charge Module</t>
  </si>
  <si>
    <t>www.aliexpress.com/item/1005011938859268.html</t>
  </si>
  <si>
    <t>www.aliexpress.com/item/1005007196286931.html</t>
  </si>
  <si>
    <t>Passive Speaker</t>
  </si>
  <si>
    <t>LS-1</t>
  </si>
  <si>
    <t xml:space="preserve">U2 </t>
  </si>
  <si>
    <t>MOSFET AO3415</t>
  </si>
  <si>
    <t xml:space="preserve">D1 </t>
  </si>
  <si>
    <t>Diode Schottky SS34</t>
  </si>
  <si>
    <t xml:space="preserve">C2 </t>
  </si>
  <si>
    <t>Capacitor 100nF 0805</t>
  </si>
  <si>
    <t>Capacitor 100uF 50V</t>
  </si>
  <si>
    <t>BT1</t>
  </si>
  <si>
    <t>18650 Battery Holder</t>
  </si>
  <si>
    <t>www.aliexpress.com/item/1005011962567027.html</t>
  </si>
  <si>
    <t>www.aliexpress.com/item/1005006715755729.html</t>
  </si>
  <si>
    <t>XM-7148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</si>
</sst>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5151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3" fillId="0" borderId="0" xfId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iexpress.com/item/1005012665192802.html" TargetMode="External"/><Relationship Id="rId13" Type="http://schemas.openxmlformats.org/officeDocument/2006/relationships/hyperlink" Target="http://www.batteryworld.com.au/XTAR-3.6V-18650-size-2600mAh-LiIon-CellPCM-Protect" TargetMode="External"/><Relationship Id="rId18" Type="http://schemas.openxmlformats.org/officeDocument/2006/relationships/hyperlink" Target="http://www.aliexpress.com/item/1005011938859268.html" TargetMode="External"/><Relationship Id="rId26" Type="http://schemas.openxmlformats.org/officeDocument/2006/relationships/hyperlink" Target="http://www.aliexpress.com/item/1005006715755729.html" TargetMode="External"/><Relationship Id="rId3" Type="http://schemas.openxmlformats.org/officeDocument/2006/relationships/hyperlink" Target="http://www.lcsc.com/product-detail/C96346.html" TargetMode="External"/><Relationship Id="rId21" Type="http://schemas.openxmlformats.org/officeDocument/2006/relationships/hyperlink" Target="http://www.aliexpress.com/item/1005011962567027.html" TargetMode="External"/><Relationship Id="rId7" Type="http://schemas.openxmlformats.org/officeDocument/2006/relationships/hyperlink" Target="http://www.aliexpress.aliexpress.com/item/1005007045033967.html" TargetMode="External"/><Relationship Id="rId12" Type="http://schemas.openxmlformats.org/officeDocument/2006/relationships/hyperlink" Target="http://www.aliexpress.com/item/1005010073470627.html" TargetMode="External"/><Relationship Id="rId17" Type="http://schemas.openxmlformats.org/officeDocument/2006/relationships/hyperlink" Target="http://www.aliexpress.com/item/1005009503752666.html" TargetMode="External"/><Relationship Id="rId25" Type="http://schemas.openxmlformats.org/officeDocument/2006/relationships/hyperlink" Target="http://www.aliexpress.com/item/1005006715755729.html" TargetMode="External"/><Relationship Id="rId2" Type="http://schemas.openxmlformats.org/officeDocument/2006/relationships/hyperlink" Target="http://www.lcsc.com/product-detail/C42441529.html" TargetMode="External"/><Relationship Id="rId16" Type="http://schemas.openxmlformats.org/officeDocument/2006/relationships/hyperlink" Target="http://www.lcsc.com/product-detail/C192106.html" TargetMode="External"/><Relationship Id="rId20" Type="http://schemas.openxmlformats.org/officeDocument/2006/relationships/hyperlink" Target="http://www.aliexpress.com/item/1005011962567027.html" TargetMode="External"/><Relationship Id="rId1" Type="http://schemas.openxmlformats.org/officeDocument/2006/relationships/hyperlink" Target="http://www.lcsc.com/product-detail/C840839.html" TargetMode="External"/><Relationship Id="rId6" Type="http://schemas.openxmlformats.org/officeDocument/2006/relationships/hyperlink" Target="http://www.lcsc.com/product-detail/C8678.html" TargetMode="External"/><Relationship Id="rId11" Type="http://schemas.openxmlformats.org/officeDocument/2006/relationships/hyperlink" Target="http://www.aliexpress.com/item/1005006431200436.html" TargetMode="External"/><Relationship Id="rId24" Type="http://schemas.openxmlformats.org/officeDocument/2006/relationships/hyperlink" Target="http://www.aliexpress.com/item/1005006715755729.html" TargetMode="External"/><Relationship Id="rId5" Type="http://schemas.openxmlformats.org/officeDocument/2006/relationships/hyperlink" Target="http://www.lcsc.com/product-detail/C55205335.html" TargetMode="External"/><Relationship Id="rId15" Type="http://schemas.openxmlformats.org/officeDocument/2006/relationships/hyperlink" Target="http://www.lcsc.com/product-detail/C49678.html" TargetMode="External"/><Relationship Id="rId23" Type="http://schemas.openxmlformats.org/officeDocument/2006/relationships/hyperlink" Target="http://www.aliexpress.com/item/1005006715755729.html" TargetMode="External"/><Relationship Id="rId10" Type="http://schemas.openxmlformats.org/officeDocument/2006/relationships/hyperlink" Target="http://www.aliexpress.com/item/1005012174216785.html" TargetMode="External"/><Relationship Id="rId19" Type="http://schemas.openxmlformats.org/officeDocument/2006/relationships/hyperlink" Target="http://www.aliexpress.com/item/1005007196286931.html" TargetMode="External"/><Relationship Id="rId4" Type="http://schemas.openxmlformats.org/officeDocument/2006/relationships/hyperlink" Target="http://www.lcsc.com/product-detail/C95781.html" TargetMode="External"/><Relationship Id="rId9" Type="http://schemas.openxmlformats.org/officeDocument/2006/relationships/hyperlink" Target="http://www.aliexpress.com/item/32830655348.html" TargetMode="External"/><Relationship Id="rId14" Type="http://schemas.openxmlformats.org/officeDocument/2006/relationships/hyperlink" Target="http://www.aliexpress.com/item/33031081402.html" TargetMode="External"/><Relationship Id="rId22" Type="http://schemas.openxmlformats.org/officeDocument/2006/relationships/hyperlink" Target="http://www.aliexpress.com/item/1005006715755729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F2B1-396E-4B6A-B180-971E7927DD4E}">
  <dimension ref="A1:J34"/>
  <sheetViews>
    <sheetView tabSelected="1" workbookViewId="0">
      <selection activeCell="A20" sqref="A20"/>
    </sheetView>
  </sheetViews>
  <sheetFormatPr defaultRowHeight="15" x14ac:dyDescent="0.25"/>
  <cols>
    <col min="1" max="1" width="17.42578125" customWidth="1"/>
    <col min="2" max="2" width="23.5703125" customWidth="1"/>
    <col min="3" max="3" width="7.5703125" bestFit="1" customWidth="1"/>
    <col min="4" max="4" width="16.140625" bestFit="1" customWidth="1"/>
    <col min="5" max="5" width="13.7109375" bestFit="1" customWidth="1"/>
    <col min="6" max="6" width="69.28515625" customWidth="1"/>
    <col min="7" max="7" width="11.5703125" bestFit="1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16.149999999999999" customHeight="1" x14ac:dyDescent="0.25">
      <c r="A2" t="s">
        <v>0</v>
      </c>
      <c r="B2" t="s">
        <v>10</v>
      </c>
      <c r="C2">
        <v>1</v>
      </c>
      <c r="D2">
        <v>38</v>
      </c>
      <c r="E2">
        <v>38</v>
      </c>
      <c r="F2" s="3" t="s">
        <v>62</v>
      </c>
      <c r="G2" t="s">
        <v>1</v>
      </c>
    </row>
    <row r="3" spans="1:7" x14ac:dyDescent="0.25">
      <c r="A3" t="s">
        <v>11</v>
      </c>
      <c r="B3" t="s">
        <v>12</v>
      </c>
      <c r="C3">
        <v>1</v>
      </c>
      <c r="D3">
        <v>35</v>
      </c>
      <c r="E3">
        <v>35</v>
      </c>
      <c r="F3" s="2" t="s">
        <v>63</v>
      </c>
      <c r="G3" t="s">
        <v>14</v>
      </c>
    </row>
    <row r="4" spans="1:7" x14ac:dyDescent="0.25">
      <c r="A4" t="s">
        <v>15</v>
      </c>
      <c r="B4" t="s">
        <v>13</v>
      </c>
      <c r="C4">
        <v>1</v>
      </c>
      <c r="D4">
        <v>3</v>
      </c>
      <c r="E4">
        <v>3</v>
      </c>
      <c r="F4" s="2" t="s">
        <v>64</v>
      </c>
      <c r="G4" t="s">
        <v>1</v>
      </c>
    </row>
    <row r="5" spans="1:7" x14ac:dyDescent="0.25">
      <c r="A5" t="s">
        <v>16</v>
      </c>
      <c r="B5" t="s">
        <v>17</v>
      </c>
      <c r="C5">
        <v>1</v>
      </c>
      <c r="D5">
        <v>2</v>
      </c>
      <c r="E5">
        <v>2</v>
      </c>
      <c r="F5" s="2" t="s">
        <v>65</v>
      </c>
      <c r="G5" t="s">
        <v>18</v>
      </c>
    </row>
    <row r="6" spans="1:7" x14ac:dyDescent="0.25">
      <c r="A6" t="s">
        <v>61</v>
      </c>
      <c r="B6" t="s">
        <v>19</v>
      </c>
      <c r="C6">
        <v>1</v>
      </c>
      <c r="D6">
        <v>3</v>
      </c>
      <c r="E6">
        <v>3</v>
      </c>
      <c r="F6" s="2" t="s">
        <v>66</v>
      </c>
      <c r="G6" t="s">
        <v>18</v>
      </c>
    </row>
    <row r="7" spans="1:7" x14ac:dyDescent="0.25">
      <c r="A7" t="s">
        <v>20</v>
      </c>
      <c r="B7" t="s">
        <v>24</v>
      </c>
      <c r="C7">
        <v>1</v>
      </c>
      <c r="D7">
        <v>30</v>
      </c>
      <c r="E7">
        <v>30</v>
      </c>
      <c r="F7" t="s">
        <v>28</v>
      </c>
      <c r="G7" t="s">
        <v>1</v>
      </c>
    </row>
    <row r="8" spans="1:7" x14ac:dyDescent="0.25">
      <c r="A8" t="s">
        <v>21</v>
      </c>
      <c r="B8" t="s">
        <v>25</v>
      </c>
      <c r="C8">
        <v>1</v>
      </c>
      <c r="D8">
        <v>3</v>
      </c>
      <c r="E8">
        <v>3</v>
      </c>
      <c r="F8" t="s">
        <v>28</v>
      </c>
      <c r="G8" t="s">
        <v>1</v>
      </c>
    </row>
    <row r="9" spans="1:7" x14ac:dyDescent="0.25">
      <c r="A9" t="s">
        <v>22</v>
      </c>
      <c r="B9" t="s">
        <v>26</v>
      </c>
      <c r="C9">
        <v>1</v>
      </c>
      <c r="D9">
        <v>3</v>
      </c>
      <c r="E9">
        <v>3</v>
      </c>
      <c r="F9" t="s">
        <v>28</v>
      </c>
      <c r="G9" t="s">
        <v>1</v>
      </c>
    </row>
    <row r="10" spans="1:7" x14ac:dyDescent="0.25">
      <c r="A10" t="s">
        <v>23</v>
      </c>
      <c r="B10" t="s">
        <v>27</v>
      </c>
      <c r="C10">
        <v>1</v>
      </c>
      <c r="D10">
        <v>1</v>
      </c>
      <c r="E10">
        <v>1</v>
      </c>
      <c r="F10" t="s">
        <v>28</v>
      </c>
      <c r="G10" t="s">
        <v>1</v>
      </c>
    </row>
    <row r="11" spans="1:7" x14ac:dyDescent="0.25">
      <c r="A11" t="s">
        <v>30</v>
      </c>
      <c r="B11" t="s">
        <v>31</v>
      </c>
      <c r="C11">
        <v>1</v>
      </c>
      <c r="D11">
        <v>1</v>
      </c>
      <c r="E11">
        <v>1</v>
      </c>
      <c r="F11" t="s">
        <v>29</v>
      </c>
      <c r="G11" t="s">
        <v>1</v>
      </c>
    </row>
    <row r="12" spans="1:7" x14ac:dyDescent="0.25">
      <c r="A12" t="s">
        <v>38</v>
      </c>
      <c r="B12" t="s">
        <v>37</v>
      </c>
      <c r="C12">
        <v>1</v>
      </c>
      <c r="D12">
        <v>2</v>
      </c>
      <c r="E12">
        <v>2</v>
      </c>
      <c r="F12" t="s">
        <v>36</v>
      </c>
      <c r="G12" t="s">
        <v>2</v>
      </c>
    </row>
    <row r="13" spans="1:7" x14ac:dyDescent="0.25">
      <c r="A13" t="s">
        <v>73</v>
      </c>
      <c r="B13" t="s">
        <v>74</v>
      </c>
      <c r="C13">
        <v>1</v>
      </c>
      <c r="D13">
        <v>5</v>
      </c>
      <c r="E13">
        <v>5</v>
      </c>
      <c r="F13" s="2" t="s">
        <v>67</v>
      </c>
      <c r="G13" t="s">
        <v>14</v>
      </c>
    </row>
    <row r="14" spans="1:7" x14ac:dyDescent="0.25">
      <c r="A14" t="s">
        <v>45</v>
      </c>
      <c r="B14" t="s">
        <v>46</v>
      </c>
      <c r="C14">
        <v>1</v>
      </c>
      <c r="D14">
        <v>10</v>
      </c>
      <c r="E14">
        <v>10</v>
      </c>
      <c r="F14" s="2" t="s">
        <v>69</v>
      </c>
      <c r="G14" t="s">
        <v>32</v>
      </c>
    </row>
    <row r="15" spans="1:7" x14ac:dyDescent="0.25">
      <c r="A15" t="s">
        <v>89</v>
      </c>
      <c r="B15" t="s">
        <v>90</v>
      </c>
      <c r="C15">
        <v>1</v>
      </c>
      <c r="D15">
        <v>0.3</v>
      </c>
      <c r="E15">
        <v>0.3</v>
      </c>
      <c r="F15" s="2" t="s">
        <v>68</v>
      </c>
      <c r="G15" t="s">
        <v>2</v>
      </c>
    </row>
    <row r="16" spans="1:7" x14ac:dyDescent="0.25">
      <c r="A16" t="s">
        <v>72</v>
      </c>
      <c r="B16" t="s">
        <v>88</v>
      </c>
      <c r="C16">
        <v>1</v>
      </c>
      <c r="D16">
        <v>0.6</v>
      </c>
      <c r="E16">
        <v>0.6</v>
      </c>
      <c r="F16" s="2" t="s">
        <v>71</v>
      </c>
      <c r="G16" t="s">
        <v>32</v>
      </c>
    </row>
    <row r="17" spans="1:10" x14ac:dyDescent="0.25">
      <c r="A17" t="s">
        <v>86</v>
      </c>
      <c r="B17" t="s">
        <v>87</v>
      </c>
      <c r="C17">
        <v>1</v>
      </c>
      <c r="D17">
        <v>0.02</v>
      </c>
      <c r="E17">
        <v>0.02</v>
      </c>
      <c r="F17" s="2" t="s">
        <v>70</v>
      </c>
      <c r="G17" t="s">
        <v>32</v>
      </c>
    </row>
    <row r="18" spans="1:10" x14ac:dyDescent="0.25">
      <c r="A18" t="s">
        <v>76</v>
      </c>
      <c r="B18" t="s">
        <v>77</v>
      </c>
      <c r="C18">
        <v>1</v>
      </c>
      <c r="D18">
        <v>2</v>
      </c>
      <c r="E18">
        <v>2</v>
      </c>
      <c r="F18" s="2" t="s">
        <v>75</v>
      </c>
      <c r="G18" t="s">
        <v>14</v>
      </c>
    </row>
    <row r="19" spans="1:10" x14ac:dyDescent="0.25">
      <c r="A19" t="s">
        <v>53</v>
      </c>
      <c r="B19" t="s">
        <v>54</v>
      </c>
      <c r="C19">
        <v>1</v>
      </c>
      <c r="D19">
        <v>0.33</v>
      </c>
      <c r="E19">
        <v>0.33</v>
      </c>
      <c r="F19" s="2" t="s">
        <v>52</v>
      </c>
      <c r="G19" t="s">
        <v>1</v>
      </c>
    </row>
    <row r="20" spans="1:10" x14ac:dyDescent="0.25">
      <c r="A20" s="4" t="s">
        <v>93</v>
      </c>
      <c r="B20" t="s">
        <v>47</v>
      </c>
      <c r="C20">
        <v>1</v>
      </c>
      <c r="D20">
        <v>9</v>
      </c>
      <c r="E20">
        <v>9</v>
      </c>
      <c r="F20" s="2" t="s">
        <v>78</v>
      </c>
      <c r="G20" t="s">
        <v>18</v>
      </c>
    </row>
    <row r="21" spans="1:10" x14ac:dyDescent="0.25">
      <c r="A21" t="s">
        <v>81</v>
      </c>
      <c r="B21" t="s">
        <v>80</v>
      </c>
      <c r="C21">
        <v>1</v>
      </c>
      <c r="D21">
        <v>0.3</v>
      </c>
      <c r="E21">
        <v>0.3</v>
      </c>
      <c r="F21" s="2" t="s">
        <v>79</v>
      </c>
      <c r="G21" t="s">
        <v>32</v>
      </c>
    </row>
    <row r="22" spans="1:10" x14ac:dyDescent="0.25">
      <c r="A22" t="s">
        <v>84</v>
      </c>
      <c r="B22" t="s">
        <v>85</v>
      </c>
      <c r="C22">
        <v>1</v>
      </c>
      <c r="D22">
        <v>0.04</v>
      </c>
      <c r="E22">
        <v>0.04</v>
      </c>
      <c r="F22" s="2" t="s">
        <v>60</v>
      </c>
      <c r="G22" t="s">
        <v>14</v>
      </c>
    </row>
    <row r="23" spans="1:10" x14ac:dyDescent="0.25">
      <c r="A23" t="s">
        <v>82</v>
      </c>
      <c r="B23" t="s">
        <v>83</v>
      </c>
      <c r="C23">
        <v>1</v>
      </c>
      <c r="D23">
        <v>0.4</v>
      </c>
      <c r="E23">
        <v>0.4</v>
      </c>
      <c r="F23" s="2" t="s">
        <v>51</v>
      </c>
      <c r="G23" t="s">
        <v>14</v>
      </c>
    </row>
    <row r="24" spans="1:10" x14ac:dyDescent="0.25">
      <c r="A24" t="s">
        <v>58</v>
      </c>
      <c r="B24" t="s">
        <v>49</v>
      </c>
      <c r="C24">
        <v>2</v>
      </c>
      <c r="D24">
        <v>0.04</v>
      </c>
      <c r="E24">
        <f>C24*D24</f>
        <v>0.08</v>
      </c>
      <c r="F24" s="2" t="s">
        <v>57</v>
      </c>
      <c r="G24" t="s">
        <v>32</v>
      </c>
      <c r="J24" t="s">
        <v>59</v>
      </c>
    </row>
    <row r="25" spans="1:10" x14ac:dyDescent="0.25">
      <c r="A25" t="s">
        <v>50</v>
      </c>
      <c r="B25" t="s">
        <v>49</v>
      </c>
      <c r="C25">
        <v>1</v>
      </c>
      <c r="D25">
        <v>0.01</v>
      </c>
      <c r="E25">
        <v>0.01</v>
      </c>
      <c r="F25" s="2" t="s">
        <v>55</v>
      </c>
      <c r="G25" t="s">
        <v>32</v>
      </c>
    </row>
    <row r="26" spans="1:10" x14ac:dyDescent="0.25">
      <c r="A26" t="s">
        <v>48</v>
      </c>
      <c r="B26" t="s">
        <v>49</v>
      </c>
      <c r="C26">
        <v>1</v>
      </c>
      <c r="D26">
        <v>0.01</v>
      </c>
      <c r="E26">
        <v>0.01</v>
      </c>
      <c r="F26" s="2" t="s">
        <v>56</v>
      </c>
      <c r="G26" t="s">
        <v>32</v>
      </c>
    </row>
    <row r="27" spans="1:10" x14ac:dyDescent="0.25">
      <c r="A27" t="s">
        <v>39</v>
      </c>
      <c r="B27" t="s">
        <v>33</v>
      </c>
      <c r="C27">
        <v>1</v>
      </c>
      <c r="D27">
        <v>0.7</v>
      </c>
      <c r="E27">
        <f>D27*C27</f>
        <v>0.7</v>
      </c>
      <c r="F27" s="2" t="s">
        <v>92</v>
      </c>
      <c r="G27" t="s">
        <v>18</v>
      </c>
    </row>
    <row r="28" spans="1:10" x14ac:dyDescent="0.25">
      <c r="A28" t="s">
        <v>40</v>
      </c>
      <c r="B28" t="s">
        <v>33</v>
      </c>
      <c r="C28">
        <v>4</v>
      </c>
      <c r="D28">
        <v>0.36</v>
      </c>
      <c r="E28">
        <f t="shared" ref="E28:E33" si="0">D28*C28</f>
        <v>1.44</v>
      </c>
      <c r="F28" s="2" t="s">
        <v>92</v>
      </c>
      <c r="G28" t="s">
        <v>18</v>
      </c>
    </row>
    <row r="29" spans="1:10" x14ac:dyDescent="0.25">
      <c r="A29" t="s">
        <v>41</v>
      </c>
      <c r="B29" t="s">
        <v>33</v>
      </c>
      <c r="C29">
        <v>2</v>
      </c>
      <c r="D29">
        <v>0.39</v>
      </c>
      <c r="E29">
        <f t="shared" si="0"/>
        <v>0.78</v>
      </c>
      <c r="F29" s="2" t="s">
        <v>92</v>
      </c>
      <c r="G29" t="s">
        <v>18</v>
      </c>
    </row>
    <row r="30" spans="1:10" x14ac:dyDescent="0.25">
      <c r="A30" t="s">
        <v>42</v>
      </c>
      <c r="B30" t="s">
        <v>33</v>
      </c>
      <c r="C30">
        <v>3</v>
      </c>
      <c r="D30">
        <v>0.38</v>
      </c>
      <c r="E30">
        <f t="shared" si="0"/>
        <v>1.1400000000000001</v>
      </c>
      <c r="F30" s="2" t="s">
        <v>92</v>
      </c>
      <c r="G30" t="s">
        <v>18</v>
      </c>
    </row>
    <row r="31" spans="1:10" x14ac:dyDescent="0.25">
      <c r="A31" t="s">
        <v>43</v>
      </c>
      <c r="B31" t="s">
        <v>33</v>
      </c>
      <c r="C31">
        <v>4</v>
      </c>
      <c r="D31">
        <v>0.37</v>
      </c>
      <c r="E31">
        <f t="shared" si="0"/>
        <v>1.48</v>
      </c>
      <c r="F31" s="2" t="s">
        <v>92</v>
      </c>
      <c r="G31" t="s">
        <v>18</v>
      </c>
    </row>
    <row r="32" spans="1:10" x14ac:dyDescent="0.25">
      <c r="A32" t="s">
        <v>44</v>
      </c>
      <c r="B32" t="s">
        <v>34</v>
      </c>
      <c r="C32">
        <v>5</v>
      </c>
      <c r="D32">
        <v>0.05</v>
      </c>
      <c r="E32">
        <f t="shared" si="0"/>
        <v>0.25</v>
      </c>
      <c r="F32" s="2" t="s">
        <v>91</v>
      </c>
      <c r="G32" t="s">
        <v>18</v>
      </c>
    </row>
    <row r="33" spans="1:7" x14ac:dyDescent="0.25">
      <c r="A33" t="s">
        <v>35</v>
      </c>
      <c r="B33" t="s">
        <v>34</v>
      </c>
      <c r="C33">
        <v>2</v>
      </c>
      <c r="D33">
        <v>0.06</v>
      </c>
      <c r="E33">
        <f t="shared" si="0"/>
        <v>0.12</v>
      </c>
      <c r="F33" s="2" t="s">
        <v>91</v>
      </c>
      <c r="G33" t="s">
        <v>18</v>
      </c>
    </row>
    <row r="34" spans="1:7" x14ac:dyDescent="0.25">
      <c r="E34">
        <f>SUM(E2:E33)</f>
        <v>155</v>
      </c>
    </row>
  </sheetData>
  <phoneticPr fontId="2" type="noConversion"/>
  <hyperlinks>
    <hyperlink ref="F23" r:id="rId1" xr:uid="{383523A0-3472-471F-B466-6DDE8F824995}"/>
    <hyperlink ref="F19" r:id="rId2" xr:uid="{24B4937F-6568-4399-BD64-5B5A8B3FEBBB}"/>
    <hyperlink ref="F25" r:id="rId3" xr:uid="{171D084E-8855-4B58-A41C-6D1C3A0E8F0B}"/>
    <hyperlink ref="F26" r:id="rId4" xr:uid="{749887BE-4AD0-4A34-B37F-76E1EC603133}"/>
    <hyperlink ref="F24" r:id="rId5" xr:uid="{2A1EFE2C-80D8-49E2-BB01-368A95E8A436}"/>
    <hyperlink ref="F22" r:id="rId6" xr:uid="{57E0CB92-C19A-4D5C-8AE5-41746A352088}"/>
    <hyperlink ref="F2" r:id="rId7" xr:uid="{08DEE3AE-B1B0-4C92-834A-9653BB8F8066}"/>
    <hyperlink ref="F3" r:id="rId8" xr:uid="{8400319F-463A-46AA-B90B-739ED6C47B46}"/>
    <hyperlink ref="F4" r:id="rId9" xr:uid="{3E12C5F6-E4F7-4CCA-9DE5-B55BA305EC85}"/>
    <hyperlink ref="F5" r:id="rId10" xr:uid="{FF6F358A-08AB-4AB3-A8BB-68CAC5ECA188}"/>
    <hyperlink ref="F6" r:id="rId11" xr:uid="{D38816B9-6CC3-4670-A1F0-787646BD293A}"/>
    <hyperlink ref="F13" r:id="rId12" xr:uid="{898CF32C-EE2E-4A69-A0EF-F1BF538CEA81}"/>
    <hyperlink ref="F14" r:id="rId13" xr:uid="{0CCA62DF-154D-42D7-A0D0-DE17CB05F9BD}"/>
    <hyperlink ref="F15" r:id="rId14" xr:uid="{880EF1C7-E005-4E75-80F2-3637E53F3A26}"/>
    <hyperlink ref="F17" r:id="rId15" xr:uid="{B06109FA-6727-40E7-8B8B-7B5FC0575FF7}"/>
    <hyperlink ref="F16" r:id="rId16" xr:uid="{D36713C9-05E5-4705-91FD-96F9D60D2C12}"/>
    <hyperlink ref="F18" r:id="rId17" xr:uid="{75C9BC7D-8651-44C8-B1E3-3102FA044696}"/>
    <hyperlink ref="F20" r:id="rId18" xr:uid="{DBBB90D6-97B7-4B99-9F9B-CB4C342A5FBD}"/>
    <hyperlink ref="F21" r:id="rId19" xr:uid="{D002E2E2-E287-42C9-81FC-527C48BAA15A}"/>
    <hyperlink ref="F32" r:id="rId20" xr:uid="{D7E5B4C3-A490-4978-9FCC-89D93381F626}"/>
    <hyperlink ref="F33" r:id="rId21" xr:uid="{E99045BE-EF9E-4E1E-88A9-64FCC7FA9C07}"/>
    <hyperlink ref="F27" r:id="rId22" xr:uid="{160CCBA0-55E1-4023-B8D2-272BD412166F}"/>
    <hyperlink ref="F28" r:id="rId23" xr:uid="{1AC7C8DB-E4C2-4C57-A268-81DD5BBCADDF}"/>
    <hyperlink ref="F29" r:id="rId24" xr:uid="{43E49B0D-E045-4C08-AB22-F4C4551F7FA4}"/>
    <hyperlink ref="F30" r:id="rId25" xr:uid="{52AFE009-65D8-42A9-94B3-AD340C470128}"/>
    <hyperlink ref="F31" r:id="rId26" xr:uid="{812D17B0-7A6D-404F-BA9C-A4AA79F4C16A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Ross</dc:creator>
  <cp:lastModifiedBy>Robert Ross</cp:lastModifiedBy>
  <dcterms:created xsi:type="dcterms:W3CDTF">2026-10-15T05:53:42Z</dcterms:created>
  <dcterms:modified xsi:type="dcterms:W3CDTF">2026-10-16T05:23:46Z</dcterms:modified>
</cp:coreProperties>
</file>